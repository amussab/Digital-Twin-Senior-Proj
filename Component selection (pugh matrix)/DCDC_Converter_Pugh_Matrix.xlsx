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gh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<sst xmlns="http://schemas.openxmlformats.org/spreadsheetml/2006/main" count="84" uniqueCount="33">
  <si>
    <t xml:space="preserve">Pugh Matrix – DC-DC Converter Selection</t>
  </si>
  <si>
    <t xml:space="preserve">Use case: 24 V local-control-system rail → 5 V regulated bus powering AD7606, STM32H755, ESP32-C6 (~1–1.3 A / 15 W load)</t>
  </si>
  <si>
    <t xml:space="preserve">Criterion</t>
  </si>
  <si>
    <t xml:space="preserve">Buck Converter
(DATUM)</t>
  </si>
  <si>
    <t xml:space="preserve">Linear Regulator
(LDO)</t>
  </si>
  <si>
    <t xml:space="preserve">Buck-Boost
Converter</t>
  </si>
  <si>
    <t xml:space="preserve">SEPIC</t>
  </si>
  <si>
    <t xml:space="preserve">Ćuk
Converter</t>
  </si>
  <si>
    <t xml:space="preserve">Switched-Capacitor
/ Charge Pump</t>
  </si>
  <si>
    <t xml:space="preserve">Handles 24V→5V step-down cleanly (~4.8:1) at 1–1.3 A</t>
  </si>
  <si>
    <t xml:space="preserve">S</t>
  </si>
  <si>
    <t xml:space="preserve">-</t>
  </si>
  <si>
    <t xml:space="preserve">Output ripple / noise (affects AD7606 ADC signal integrity)</t>
  </si>
  <si>
    <t xml:space="preserve">+</t>
  </si>
  <si>
    <t xml:space="preserve">Efficiency at ~15 W continuous load</t>
  </si>
  <si>
    <t xml:space="preserve">Thermal management / heat dissipation</t>
  </si>
  <si>
    <t xml:space="preserve">Cost (module + supporting components)</t>
  </si>
  <si>
    <t xml:space="preserve">Size / board footprint (node PCB)</t>
  </si>
  <si>
    <t xml:space="preserve">Design complexity / integration risk</t>
  </si>
  <si>
    <t xml:space="preserve">Off-the-shelf module availability</t>
  </si>
  <si>
    <t xml:space="preserve">Output regulation accuracy / load-transient response</t>
  </si>
  <si>
    <t xml:space="preserve">Sum of +</t>
  </si>
  <si>
    <t xml:space="preserve">Sum of S</t>
  </si>
  <si>
    <t xml:space="preserve">Sum of –</t>
  </si>
  <si>
    <t xml:space="preserve">NET SCORE (Σ+ − Σ−)</t>
  </si>
  <si>
    <t xml:space="preserve">RANK</t>
  </si>
  <si>
    <t xml:space="preserve">Legend:  +  = better than datum     S = same as datum     – = worse than datum</t>
  </si>
  <si>
    <t xml:space="preserve">Datum: Buck Converter, matching the 3A/15W buck module already selected in the BOM (AliExpress, 24V→5V, ~1–1.3A combined board load).</t>
  </si>
  <si>
    <t xml:space="preserve">Battery-life / runtime criteria removed — this rail is fed from the 24V local-control-system supply, not a battery.</t>
  </si>
  <si>
    <t xml:space="preserve">Linear regulator (LDO) is disqualified on efficiency/thermal grounds despite low noise: dropping 19V at ~1.3A dissipates ~25W as heat, exceeding the load itself.</t>
  </si>
  <si>
    <t xml:space="preserve">Buck-boost / SEPIC / Ćuk are not needed here because the input (24V) never drops near or below the 5V output — their up-or-down flexibility adds cost, size and complexity with no benefit.</t>
  </si>
  <si>
    <t xml:space="preserve">Ćuk's continuous input+output current gives a genuine noise/ripple edge, but its rare ICs, dual magnetics and higher cost outweigh that benefit at this power level.</t>
  </si>
  <si>
    <t xml:space="preserve">Switched-capacitor/charge pump struggles with a non-integer 4.8:1 ratio at 15W and would need a post-regulation stage, adding complexity without a real gain.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</si>
</sst>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1.5" hidden="false" customHeight="true" outlineLevel="0" collapsed="false">
      <c r="A5" s="5" t="s">
        <v>9</v>
      </c>
      <c r="B5" s="6" t="s">
        <v>10</v>
      </c>
      <c r="C5" s="7" t="s">
        <v>11</v>
      </c>
      <c r="D5" s="6" t="s">
        <v>10</v>
      </c>
      <c r="E5" s="6" t="s">
        <v>10</v>
      </c>
      <c r="F5" s="6" t="s">
        <v>10</v>
      </c>
      <c r="G5" s="7" t="s">
        <v>11</v>
      </c>
    </row>
    <row r="6" customFormat="false" ht="31.5" hidden="false" customHeight="true" outlineLevel="0" collapsed="false">
      <c r="A6" s="5" t="s">
        <v>12</v>
      </c>
      <c r="B6" s="6" t="s">
        <v>10</v>
      </c>
      <c r="C6" s="8" t="s">
        <v>13</v>
      </c>
      <c r="D6" s="7" t="s">
        <v>11</v>
      </c>
      <c r="E6" s="6" t="s">
        <v>10</v>
      </c>
      <c r="F6" s="8" t="s">
        <v>13</v>
      </c>
      <c r="G6" s="7" t="s">
        <v>11</v>
      </c>
    </row>
    <row r="7" customFormat="false" ht="31.5" hidden="false" customHeight="true" outlineLevel="0" collapsed="false">
      <c r="A7" s="5" t="s">
        <v>14</v>
      </c>
      <c r="B7" s="6" t="s">
        <v>10</v>
      </c>
      <c r="C7" s="7" t="s">
        <v>11</v>
      </c>
      <c r="D7" s="7" t="s">
        <v>11</v>
      </c>
      <c r="E7" s="7" t="s">
        <v>11</v>
      </c>
      <c r="F7" s="6" t="s">
        <v>10</v>
      </c>
      <c r="G7" s="7" t="s">
        <v>11</v>
      </c>
    </row>
    <row r="8" customFormat="false" ht="31.5" hidden="false" customHeight="true" outlineLevel="0" collapsed="false">
      <c r="A8" s="5" t="s">
        <v>15</v>
      </c>
      <c r="B8" s="6" t="s">
        <v>10</v>
      </c>
      <c r="C8" s="7" t="s">
        <v>11</v>
      </c>
      <c r="D8" s="7" t="s">
        <v>11</v>
      </c>
      <c r="E8" s="7" t="s">
        <v>11</v>
      </c>
      <c r="F8" s="7" t="s">
        <v>11</v>
      </c>
      <c r="G8" s="6" t="s">
        <v>10</v>
      </c>
    </row>
    <row r="9" customFormat="false" ht="31.5" hidden="false" customHeight="true" outlineLevel="0" collapsed="false">
      <c r="A9" s="5" t="s">
        <v>16</v>
      </c>
      <c r="B9" s="6" t="s">
        <v>10</v>
      </c>
      <c r="C9" s="6" t="s">
        <v>10</v>
      </c>
      <c r="D9" s="7" t="s">
        <v>11</v>
      </c>
      <c r="E9" s="7" t="s">
        <v>11</v>
      </c>
      <c r="F9" s="7" t="s">
        <v>11</v>
      </c>
      <c r="G9" s="6" t="s">
        <v>10</v>
      </c>
    </row>
    <row r="10" customFormat="false" ht="31.5" hidden="false" customHeight="true" outlineLevel="0" collapsed="false">
      <c r="A10" s="5" t="s">
        <v>17</v>
      </c>
      <c r="B10" s="6" t="s">
        <v>10</v>
      </c>
      <c r="C10" s="7" t="s">
        <v>11</v>
      </c>
      <c r="D10" s="7" t="s">
        <v>11</v>
      </c>
      <c r="E10" s="7" t="s">
        <v>11</v>
      </c>
      <c r="F10" s="7" t="s">
        <v>11</v>
      </c>
      <c r="G10" s="6" t="s">
        <v>10</v>
      </c>
    </row>
    <row r="11" customFormat="false" ht="31.5" hidden="false" customHeight="true" outlineLevel="0" collapsed="false">
      <c r="A11" s="5" t="s">
        <v>18</v>
      </c>
      <c r="B11" s="6" t="s">
        <v>10</v>
      </c>
      <c r="C11" s="8" t="s">
        <v>13</v>
      </c>
      <c r="D11" s="7" t="s">
        <v>11</v>
      </c>
      <c r="E11" s="7" t="s">
        <v>11</v>
      </c>
      <c r="F11" s="7" t="s">
        <v>11</v>
      </c>
      <c r="G11" s="7" t="s">
        <v>11</v>
      </c>
    </row>
    <row r="12" customFormat="false" ht="31.5" hidden="false" customHeight="true" outlineLevel="0" collapsed="false">
      <c r="A12" s="5" t="s">
        <v>19</v>
      </c>
      <c r="B12" s="6" t="s">
        <v>10</v>
      </c>
      <c r="C12" s="8" t="s">
        <v>13</v>
      </c>
      <c r="D12" s="6" t="s">
        <v>10</v>
      </c>
      <c r="E12" s="7" t="s">
        <v>11</v>
      </c>
      <c r="F12" s="7" t="s">
        <v>11</v>
      </c>
      <c r="G12" s="7" t="s">
        <v>11</v>
      </c>
    </row>
    <row r="13" customFormat="false" ht="31.5" hidden="false" customHeight="true" outlineLevel="0" collapsed="false">
      <c r="A13" s="5" t="s">
        <v>20</v>
      </c>
      <c r="B13" s="6" t="s">
        <v>10</v>
      </c>
      <c r="C13" s="8" t="s">
        <v>13</v>
      </c>
      <c r="D13" s="6" t="s">
        <v>10</v>
      </c>
      <c r="E13" s="6" t="s">
        <v>10</v>
      </c>
      <c r="F13" s="6" t="s">
        <v>10</v>
      </c>
      <c r="G13" s="7" t="s">
        <v>11</v>
      </c>
    </row>
    <row r="14" customFormat="false" ht="15" hidden="false" customHeight="false" outlineLevel="0" collapsed="false">
      <c r="A14" s="9" t="s">
        <v>21</v>
      </c>
      <c r="B14" s="8" t="n">
        <f aca="false">COUNTIF(B5:B13,"+")</f>
        <v>0</v>
      </c>
      <c r="C14" s="8" t="n">
        <f aca="false">COUNTIF(C5:C13,"+")</f>
        <v>4</v>
      </c>
      <c r="D14" s="8" t="n">
        <f aca="false">COUNTIF(D5:D13,"+")</f>
        <v>0</v>
      </c>
      <c r="E14" s="8" t="n">
        <f aca="false">COUNTIF(E5:E13,"+")</f>
        <v>0</v>
      </c>
      <c r="F14" s="8" t="n">
        <f aca="false">COUNTIF(F5:F13,"+")</f>
        <v>1</v>
      </c>
      <c r="G14" s="8" t="n">
        <f aca="false">COUNTIF(G5:G13,"+")</f>
        <v>0</v>
      </c>
    </row>
    <row r="15" customFormat="false" ht="15" hidden="false" customHeight="false" outlineLevel="0" collapsed="false">
      <c r="A15" s="9" t="s">
        <v>22</v>
      </c>
      <c r="B15" s="6" t="n">
        <f aca="false">COUNTIF(B5:B13,"S")</f>
        <v>9</v>
      </c>
      <c r="C15" s="6" t="n">
        <f aca="false">COUNTIF(C5:C13,"S")</f>
        <v>1</v>
      </c>
      <c r="D15" s="6" t="n">
        <f aca="false">COUNTIF(D5:D13,"S")</f>
        <v>3</v>
      </c>
      <c r="E15" s="6" t="n">
        <f aca="false">COUNTIF(E5:E13,"S")</f>
        <v>3</v>
      </c>
      <c r="F15" s="6" t="n">
        <f aca="false">COUNTIF(F5:F13,"S")</f>
        <v>3</v>
      </c>
      <c r="G15" s="6" t="n">
        <f aca="false">COUNTIF(G5:G13,"S")</f>
        <v>3</v>
      </c>
    </row>
    <row r="16" customFormat="false" ht="15" hidden="false" customHeight="false" outlineLevel="0" collapsed="false">
      <c r="A16" s="9" t="s">
        <v>23</v>
      </c>
      <c r="B16" s="7" t="n">
        <f aca="false">COUNTIF(B5:B13,"-")</f>
        <v>0</v>
      </c>
      <c r="C16" s="7" t="n">
        <f aca="false">COUNTIF(C5:C13,"-")</f>
        <v>4</v>
      </c>
      <c r="D16" s="7" t="n">
        <f aca="false">COUNTIF(D5:D13,"-")</f>
        <v>6</v>
      </c>
      <c r="E16" s="7" t="n">
        <f aca="false">COUNTIF(E5:E13,"-")</f>
        <v>6</v>
      </c>
      <c r="F16" s="7" t="n">
        <f aca="false">COUNTIF(F5:F13,"-")</f>
        <v>5</v>
      </c>
      <c r="G16" s="7" t="n">
        <f aca="false">COUNTIF(G5:G13,"-")</f>
        <v>6</v>
      </c>
    </row>
    <row r="17" customFormat="false" ht="15" hidden="false" customHeight="false" outlineLevel="0" collapsed="false">
      <c r="A17" s="10" t="s">
        <v>24</v>
      </c>
      <c r="B17" s="11" t="n">
        <f aca="false">B14-B16</f>
        <v>0</v>
      </c>
      <c r="C17" s="11" t="n">
        <f aca="false">C14-C16</f>
        <v>0</v>
      </c>
      <c r="D17" s="11" t="n">
        <f aca="false">D14-D16</f>
        <v>-6</v>
      </c>
      <c r="E17" s="11" t="n">
        <f aca="false">E14-E16</f>
        <v>-6</v>
      </c>
      <c r="F17" s="11" t="n">
        <f aca="false">F14-F16</f>
        <v>-4</v>
      </c>
      <c r="G17" s="11" t="n">
        <f aca="false">G14-G16</f>
        <v>-6</v>
      </c>
    </row>
    <row r="18" customFormat="false" ht="15" hidden="false" customHeight="false" outlineLevel="0" collapsed="false">
      <c r="A18" s="9" t="s">
        <v>25</v>
      </c>
      <c r="B18" s="12" t="n">
        <f aca="false">RANK(B17,$B$17:$G$17)</f>
        <v>1</v>
      </c>
      <c r="C18" s="12" t="n">
        <f aca="false">RANK(C17,$B$17:$G$17)</f>
        <v>1</v>
      </c>
      <c r="D18" s="12" t="n">
        <f aca="false">RANK(D17,$B$17:$G$17)</f>
        <v>4</v>
      </c>
      <c r="E18" s="12" t="n">
        <f aca="false">RANK(E17,$B$17:$G$17)</f>
        <v>4</v>
      </c>
      <c r="F18" s="12" t="n">
        <f aca="false">RANK(F17,$B$17:$G$17)</f>
        <v>3</v>
      </c>
      <c r="G18" s="12" t="n">
        <f aca="false">RANK(G17,$B$17:$G$17)</f>
        <v>4</v>
      </c>
    </row>
    <row r="20" customFormat="false" ht="15" hidden="false" customHeight="false" outlineLevel="0" collapsed="false">
      <c r="A20" s="13" t="s">
        <v>26</v>
      </c>
      <c r="B20" s="13"/>
      <c r="C20" s="13"/>
      <c r="D20" s="13"/>
      <c r="E20" s="13"/>
      <c r="F20" s="13"/>
      <c r="G20" s="13"/>
    </row>
    <row r="21" customFormat="false" ht="15" hidden="false" customHeight="false" outlineLevel="0" collapsed="false">
      <c r="A21" s="13" t="s">
        <v>27</v>
      </c>
      <c r="B21" s="13"/>
      <c r="C21" s="13"/>
      <c r="D21" s="13"/>
      <c r="E21" s="13"/>
      <c r="F21" s="13"/>
      <c r="G21" s="13"/>
    </row>
    <row r="22" customFormat="false" ht="15" hidden="false" customHeight="false" outlineLevel="0" collapsed="false">
      <c r="A22" s="13" t="s">
        <v>28</v>
      </c>
      <c r="B22" s="13"/>
      <c r="C22" s="13"/>
      <c r="D22" s="13"/>
      <c r="E22" s="13"/>
      <c r="F22" s="13"/>
      <c r="G22" s="13"/>
    </row>
    <row r="23" customFormat="false" ht="15" hidden="false" customHeight="false" outlineLevel="0" collapsed="false">
      <c r="A23" s="13" t="s">
        <v>29</v>
      </c>
      <c r="B23" s="13"/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3" t="s">
        <v>30</v>
      </c>
      <c r="B24" s="13"/>
      <c r="C24" s="13"/>
      <c r="D24" s="13"/>
      <c r="E24" s="13"/>
      <c r="F24" s="13"/>
      <c r="G24" s="13"/>
    </row>
    <row r="25" customFormat="false" ht="15" hidden="false" customHeight="false" outlineLevel="0" collapsed="false">
      <c r="A25" s="13" t="s">
        <v>31</v>
      </c>
      <c r="B25" s="13"/>
      <c r="C25" s="13"/>
      <c r="D25" s="13"/>
      <c r="E25" s="13"/>
      <c r="F25" s="13"/>
      <c r="G25" s="13"/>
    </row>
    <row r="26" customFormat="false" ht="15" hidden="false" customHeight="false" outlineLevel="0" collapsed="false">
      <c r="A26" s="13" t="s">
        <v>32</v>
      </c>
      <c r="B26" s="13"/>
      <c r="C26" s="13"/>
      <c r="D26" s="13"/>
      <c r="E26" s="13"/>
      <c r="F26" s="13"/>
      <c r="G26" s="13"/>
    </row>
  </sheetData>
  <mergeCells count="9">
    <mergeCell ref="A1:H1"/>
    <mergeCell ref="A2:H2"/>
    <mergeCell ref="A20:G20"/>
    <mergeCell ref="A21:G21"/>
    <mergeCell ref="A22:G22"/>
    <mergeCell ref="A23:G23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2026-09-13T17:50:14Z</dcterms:created>
  <dc:creator>openpyxl</dc:creator>
  <dc:description/>
  <dc:language>en-US</dc:language>
  <cp:lastModifiedBy/>
  <dcterms:modified xsi:type="dcterms:W3CDTF">2026-09-13T17:50:14Z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